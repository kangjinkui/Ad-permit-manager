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바탕 화면\매뉴얼\ROW데이터\"/>
    </mc:Choice>
  </mc:AlternateContent>
  <xr:revisionPtr revIDLastSave="0" documentId="13_ncr:1_{2E7339AE-89BD-4EF7-91A3-55EA845F99C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일반간판(벽면이용광고물)" sheetId="1" r:id="rId1"/>
    <sheet name="일반간판(돌출간판)" sheetId="2" r:id="rId2"/>
    <sheet name="일반간판(지주이용)" sheetId="6" r:id="rId3"/>
    <sheet name="일반간판(공공시설이용)" sheetId="7" r:id="rId4"/>
    <sheet name="대형(옥상간판)" sheetId="9" r:id="rId5"/>
    <sheet name="대형(벽면)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9" l="1"/>
  <c r="D14" i="9"/>
  <c r="E14" i="9" s="1"/>
  <c r="E4" i="9"/>
  <c r="D15" i="9"/>
  <c r="E15" i="9" s="1"/>
  <c r="D16" i="9"/>
  <c r="E16" i="9" s="1"/>
  <c r="D17" i="9"/>
  <c r="E17" i="9" s="1"/>
  <c r="J4" i="8"/>
  <c r="J16" i="8" s="1"/>
  <c r="J20" i="7"/>
  <c r="J16" i="6"/>
  <c r="I4" i="6"/>
  <c r="I12" i="6"/>
  <c r="I12" i="1"/>
  <c r="F12" i="8"/>
  <c r="I12" i="8" s="1"/>
  <c r="G14" i="7"/>
  <c r="E14" i="7" s="1"/>
  <c r="E12" i="6"/>
  <c r="I4" i="9"/>
  <c r="I14" i="9" s="1"/>
  <c r="G4" i="7"/>
  <c r="F12" i="6"/>
  <c r="F4" i="6"/>
  <c r="E12" i="8"/>
  <c r="F12" i="1"/>
  <c r="H12" i="8"/>
  <c r="D12" i="8"/>
  <c r="I4" i="8"/>
  <c r="D4" i="8"/>
  <c r="E4" i="8" s="1"/>
  <c r="G4" i="8" s="1"/>
  <c r="F4" i="9"/>
  <c r="E6" i="9"/>
  <c r="E5" i="9"/>
  <c r="J4" i="9"/>
  <c r="J14" i="9" s="1"/>
  <c r="D17" i="7"/>
  <c r="D16" i="7"/>
  <c r="D15" i="7"/>
  <c r="I14" i="7"/>
  <c r="D14" i="7"/>
  <c r="H14" i="7" s="1"/>
  <c r="D7" i="7"/>
  <c r="I4" i="7" s="1"/>
  <c r="D6" i="7"/>
  <c r="D5" i="7"/>
  <c r="D4" i="7"/>
  <c r="H4" i="7" s="1"/>
  <c r="H14" i="9" l="1"/>
  <c r="F14" i="9" s="1"/>
  <c r="H4" i="9"/>
  <c r="K4" i="9" s="1"/>
  <c r="K4" i="8"/>
  <c r="J12" i="8"/>
  <c r="J14" i="7"/>
  <c r="K14" i="7" s="1"/>
  <c r="L14" i="7" s="1"/>
  <c r="E4" i="7"/>
  <c r="K14" i="9" l="1"/>
  <c r="L14" i="9" s="1"/>
  <c r="J20" i="9" s="1"/>
  <c r="L4" i="9"/>
  <c r="J4" i="7"/>
  <c r="K4" i="7" s="1"/>
  <c r="D13" i="1"/>
  <c r="E13" i="1" s="1"/>
  <c r="F13" i="1" s="1"/>
  <c r="I13" i="1" s="1"/>
  <c r="D12" i="1"/>
  <c r="E12" i="1"/>
  <c r="H12" i="6"/>
  <c r="D12" i="6"/>
  <c r="H4" i="6"/>
  <c r="D4" i="6"/>
  <c r="E4" i="6" s="1"/>
  <c r="J12" i="1"/>
  <c r="H12" i="2"/>
  <c r="D12" i="2"/>
  <c r="E12" i="2" s="1"/>
  <c r="F12" i="2" s="1"/>
  <c r="I12" i="2" s="1"/>
  <c r="J12" i="2" s="1"/>
  <c r="D4" i="2"/>
  <c r="H13" i="1"/>
  <c r="H12" i="1"/>
  <c r="J12" i="6" l="1"/>
  <c r="J13" i="1"/>
  <c r="H4" i="2"/>
  <c r="I5" i="1"/>
  <c r="D5" i="1"/>
  <c r="E5" i="1" s="1"/>
  <c r="G5" i="1" s="1"/>
  <c r="J5" i="1" s="1"/>
  <c r="J19" i="1" s="1"/>
  <c r="I4" i="1"/>
  <c r="D4" i="1"/>
  <c r="E4" i="1" s="1"/>
  <c r="G4" i="1" s="1"/>
  <c r="J4" i="1" s="1"/>
  <c r="J18" i="1" s="1"/>
  <c r="E4" i="2" l="1"/>
  <c r="F4" i="2" s="1"/>
  <c r="I4" i="2" s="1"/>
  <c r="J1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14" authorId="0" shapeId="0" xr:uid="{F45052F6-D60E-4210-9185-880C2B5B430C}">
      <text>
        <r>
          <rPr>
            <sz val="9"/>
            <color indexed="81"/>
            <rFont val="돋움"/>
            <family val="3"/>
            <charset val="129"/>
          </rPr>
          <t>옥상간판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허가수수료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내부조명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면적으로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계산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4" authorId="0" shapeId="0" xr:uid="{616BEDBE-2E53-4FA8-9CA5-E26426419795}">
      <text>
        <r>
          <rPr>
            <b/>
            <sz val="9"/>
            <color indexed="81"/>
            <rFont val="돋움"/>
            <family val="3"/>
            <charset val="129"/>
          </rPr>
          <t>옥상간판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허가수수료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외부조명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</t>
        </r>
      </text>
    </comment>
  </commentList>
</comments>
</file>

<file path=xl/sharedStrings.xml><?xml version="1.0" encoding="utf-8"?>
<sst xmlns="http://schemas.openxmlformats.org/spreadsheetml/2006/main" count="188" uniqueCount="56">
  <si>
    <t>구분</t>
  </si>
  <si>
    <t>가로(m)</t>
  </si>
  <si>
    <t>세로(m)</t>
  </si>
  <si>
    <t>면적(㎡)</t>
  </si>
  <si>
    <t>계산면적(㎡)</t>
  </si>
  <si>
    <t>광고유형</t>
  </si>
  <si>
    <t>기본수수료</t>
  </si>
  <si>
    <t>조명유형</t>
  </si>
  <si>
    <t>전기계수</t>
  </si>
  <si>
    <t>최종수수료</t>
  </si>
  <si>
    <t>면적</t>
  </si>
  <si>
    <t>계산면적</t>
  </si>
  <si>
    <t>조명</t>
  </si>
  <si>
    <t>판류형</t>
    <phoneticPr fontId="2" type="noConversion"/>
  </si>
  <si>
    <t>입체형</t>
    <phoneticPr fontId="2" type="noConversion"/>
  </si>
  <si>
    <t>자사광고</t>
  </si>
  <si>
    <t>내부조명</t>
  </si>
  <si>
    <t>타사광고</t>
  </si>
  <si>
    <t>비조명</t>
  </si>
  <si>
    <t>벽면이용광고물 허가 수수료</t>
    <phoneticPr fontId="2" type="noConversion"/>
  </si>
  <si>
    <t>벽면이용광고물 안전점검 수수료</t>
    <phoneticPr fontId="2" type="noConversion"/>
  </si>
  <si>
    <t>수수료</t>
    <phoneticPr fontId="2" type="noConversion"/>
  </si>
  <si>
    <t>최종수수료</t>
    <phoneticPr fontId="2" type="noConversion"/>
  </si>
  <si>
    <t>돌출간판 면수</t>
    <phoneticPr fontId="2" type="noConversion"/>
  </si>
  <si>
    <t>지주이용간판 면수</t>
    <phoneticPr fontId="2" type="noConversion"/>
  </si>
  <si>
    <t>면</t>
  </si>
  <si>
    <t>높이(m)</t>
    <phoneticPr fontId="2" type="noConversion"/>
  </si>
  <si>
    <t>면적</t>
    <phoneticPr fontId="2" type="noConversion"/>
  </si>
  <si>
    <t>기본수수료</t>
    <phoneticPr fontId="2" type="noConversion"/>
  </si>
  <si>
    <t>유형</t>
    <phoneticPr fontId="2" type="noConversion"/>
  </si>
  <si>
    <t>총 면적</t>
    <phoneticPr fontId="2" type="noConversion"/>
  </si>
  <si>
    <t>내부조명 면적</t>
    <phoneticPr fontId="2" type="noConversion"/>
  </si>
  <si>
    <t>외부조명 면적</t>
    <phoneticPr fontId="2" type="noConversion"/>
  </si>
  <si>
    <t>총수수료</t>
    <phoneticPr fontId="2" type="noConversion"/>
  </si>
  <si>
    <t>외부조명</t>
  </si>
  <si>
    <t>지주이용광고물 허가 수수료</t>
    <phoneticPr fontId="2" type="noConversion"/>
  </si>
  <si>
    <t>지주이용광고물 안전점검 수수료</t>
    <phoneticPr fontId="2" type="noConversion"/>
  </si>
  <si>
    <t>돌출간판  허가 수수료</t>
    <phoneticPr fontId="2" type="noConversion"/>
  </si>
  <si>
    <t>돌출간판 안전점검 수수료</t>
    <phoneticPr fontId="2" type="noConversion"/>
  </si>
  <si>
    <t>공공시설이용광고물 허가 수수료</t>
    <phoneticPr fontId="2" type="noConversion"/>
  </si>
  <si>
    <t>옥상간판 허가 수수료</t>
    <phoneticPr fontId="2" type="noConversion"/>
  </si>
  <si>
    <t>구분</t>
    <phoneticPr fontId="2" type="noConversion"/>
  </si>
  <si>
    <t>총높이</t>
    <phoneticPr fontId="2" type="noConversion"/>
  </si>
  <si>
    <t>내용변경수수료</t>
    <phoneticPr fontId="2" type="noConversion"/>
  </si>
  <si>
    <t>1면</t>
    <phoneticPr fontId="2" type="noConversion"/>
  </si>
  <si>
    <t>2면</t>
    <phoneticPr fontId="2" type="noConversion"/>
  </si>
  <si>
    <t>3면</t>
    <phoneticPr fontId="2" type="noConversion"/>
  </si>
  <si>
    <t>4면</t>
    <phoneticPr fontId="2" type="noConversion"/>
  </si>
  <si>
    <t>옥상간판 안전점검 수수료</t>
    <phoneticPr fontId="2" type="noConversion"/>
  </si>
  <si>
    <t>전기배수</t>
    <phoneticPr fontId="2" type="noConversion"/>
  </si>
  <si>
    <t>허가수수료</t>
    <phoneticPr fontId="2" type="noConversion"/>
  </si>
  <si>
    <t xml:space="preserve">벽면이용광고물 허가+안전점검 수수료 </t>
    <phoneticPr fontId="2" type="noConversion"/>
  </si>
  <si>
    <t xml:space="preserve">돌출간판 허가+안전점검 수수료 </t>
    <phoneticPr fontId="2" type="noConversion"/>
  </si>
  <si>
    <t xml:space="preserve">지주이용광고물 허가+안전점검 수수료 </t>
    <phoneticPr fontId="2" type="noConversion"/>
  </si>
  <si>
    <t xml:space="preserve">공공시설이용광고물 허가+안전점검 수수료 </t>
    <phoneticPr fontId="2" type="noConversion"/>
  </si>
  <si>
    <t xml:space="preserve">옥상간판 허가+안전점검 수수료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</si>
</sst>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632DFB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applyAlignment="1">
      <alignment vertical="center"/>
    </xf>
    <xf numFmtId="41" fontId="0" fillId="0" borderId="0" xfId="1" applyFont="1" applyAlignment="1"/>
    <xf numFmtId="41" fontId="4" fillId="0" borderId="0" xfId="1" applyFont="1" applyAlignment="1">
      <alignment vertical="center"/>
    </xf>
    <xf numFmtId="41" fontId="4" fillId="0" borderId="0" xfId="1" applyFont="1" applyAlignment="1"/>
    <xf numFmtId="0" fontId="4" fillId="0" borderId="0" xfId="0" applyFont="1" applyAlignment="1">
      <alignment vertical="center"/>
    </xf>
    <xf numFmtId="0" fontId="5" fillId="0" borderId="0" xfId="0" applyFont="1"/>
    <xf numFmtId="41" fontId="0" fillId="0" borderId="0" xfId="1" applyFont="1" applyBorder="1" applyAlignment="1"/>
    <xf numFmtId="41" fontId="4" fillId="0" borderId="0" xfId="1" applyFont="1" applyBorder="1" applyAlignment="1"/>
    <xf numFmtId="41" fontId="5" fillId="0" borderId="0" xfId="0" applyNumberFormat="1" applyFont="1"/>
    <xf numFmtId="41" fontId="0" fillId="3" borderId="0" xfId="1" applyFont="1" applyFill="1" applyAlignment="1"/>
    <xf numFmtId="41" fontId="3" fillId="2" borderId="0" xfId="0" applyNumberFormat="1" applyFont="1" applyFill="1" applyAlignment="1"/>
    <xf numFmtId="41" fontId="0" fillId="0" borderId="0" xfId="0" applyNumberFormat="1"/>
    <xf numFmtId="0" fontId="3" fillId="2" borderId="0" xfId="0" applyFont="1" applyFill="1" applyAlignment="1">
      <alignment horizont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workbookViewId="0">
      <selection activeCell="G13" sqref="G13"/>
    </sheetView>
  </sheetViews>
  <sheetFormatPr defaultRowHeight="16.5" x14ac:dyDescent="0.3"/>
  <cols>
    <col min="1" max="10" width="10.625" customWidth="1"/>
  </cols>
  <sheetData>
    <row r="1" spans="1:11" ht="20.25" x14ac:dyDescent="0.35">
      <c r="A1" s="15" t="s">
        <v>19</v>
      </c>
      <c r="B1" s="15"/>
      <c r="C1" s="15"/>
      <c r="D1" s="15"/>
      <c r="E1" s="15"/>
      <c r="F1" s="15"/>
      <c r="G1" s="15"/>
      <c r="H1" s="15"/>
      <c r="I1" s="15"/>
      <c r="J1" s="15"/>
    </row>
    <row r="3" spans="1:1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s="2" t="s">
        <v>9</v>
      </c>
    </row>
    <row r="4" spans="1:11" x14ac:dyDescent="0.3">
      <c r="A4" t="s">
        <v>13</v>
      </c>
      <c r="B4">
        <v>9.8000000000000007</v>
      </c>
      <c r="C4">
        <v>0.8</v>
      </c>
      <c r="D4">
        <f t="shared" ref="D4:D5" si="0">B4*C4</f>
        <v>7.8400000000000007</v>
      </c>
      <c r="E4">
        <f>ROUND(D4,0)</f>
        <v>8</v>
      </c>
      <c r="F4" t="s">
        <v>15</v>
      </c>
      <c r="G4">
        <f t="shared" ref="G4" si="1">IF(F4="자사광고",IF(E4&lt;=5,4000,4000+(E4-5)*1500),IF(F4="타사광고",IF(E4&lt;=5,40000,40000+(E4-5)*2000),""))</f>
        <v>8500</v>
      </c>
      <c r="H4" t="s">
        <v>16</v>
      </c>
      <c r="I4">
        <f t="shared" ref="I4:I5" si="2">IF(H4="비조명",1,IF(H4="내부조명",1.5,IF(H4="외부조명",2,"")))</f>
        <v>1.5</v>
      </c>
      <c r="J4" s="2">
        <f>ROUNDDOWN(G4*I4,-3)</f>
        <v>12000</v>
      </c>
    </row>
    <row r="5" spans="1:11" x14ac:dyDescent="0.3">
      <c r="A5" t="s">
        <v>14</v>
      </c>
      <c r="B5">
        <v>6</v>
      </c>
      <c r="C5">
        <v>1</v>
      </c>
      <c r="D5">
        <f t="shared" si="0"/>
        <v>6</v>
      </c>
      <c r="E5">
        <f>ROUND(D5*0.7,0)</f>
        <v>4</v>
      </c>
      <c r="F5" t="s">
        <v>15</v>
      </c>
      <c r="G5">
        <f>IF(F5="자사광고",IF(E5&lt;=5,4000,4000+(E5-5)*1500),IF(F5="타사광고",IF(E5&lt;=5,40000,40000+(E5-5)*2000),""))</f>
        <v>4000</v>
      </c>
      <c r="H5" t="s">
        <v>16</v>
      </c>
      <c r="I5">
        <f t="shared" si="2"/>
        <v>1.5</v>
      </c>
      <c r="J5" s="6">
        <f>ROUNDDOWN(G5*I5,-3)</f>
        <v>6000</v>
      </c>
      <c r="K5" s="14"/>
    </row>
    <row r="9" spans="1:11" ht="20.25" x14ac:dyDescent="0.35">
      <c r="A9" s="15" t="s">
        <v>20</v>
      </c>
      <c r="B9" s="15"/>
      <c r="C9" s="15"/>
      <c r="D9" s="15"/>
      <c r="E9" s="15"/>
      <c r="F9" s="15"/>
      <c r="G9" s="15"/>
      <c r="H9" s="15"/>
      <c r="I9" s="15"/>
      <c r="J9" s="15"/>
    </row>
    <row r="11" spans="1:11" x14ac:dyDescent="0.3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6</v>
      </c>
      <c r="G11" t="s">
        <v>7</v>
      </c>
      <c r="H11" t="s">
        <v>8</v>
      </c>
      <c r="I11" t="s">
        <v>21</v>
      </c>
      <c r="J11" s="2" t="s">
        <v>22</v>
      </c>
    </row>
    <row r="12" spans="1:11" x14ac:dyDescent="0.3">
      <c r="A12" t="s">
        <v>13</v>
      </c>
      <c r="D12">
        <f>B12*C12</f>
        <v>0</v>
      </c>
      <c r="E12">
        <f>ROUND(D12,0)</f>
        <v>0</v>
      </c>
      <c r="F12">
        <f>(IF(E12&lt;=5,18000,(IF(E12&lt;=20,26000))+IF(E12&gt;20,26000+(E12-20)*1500)))</f>
        <v>18000</v>
      </c>
      <c r="H12" t="str">
        <f t="shared" ref="H12:H13" si="3">IF(G12="비조명",1,IF(G12="내부조명",1.5,IF(G12="외부조명",2,"")))</f>
        <v/>
      </c>
      <c r="I12" t="e">
        <f>ROUNDDOWN(F12*H12,-3)</f>
        <v>#VALUE!</v>
      </c>
      <c r="J12" s="2" t="e">
        <f>I12*1.1</f>
        <v>#VALUE!</v>
      </c>
    </row>
    <row r="13" spans="1:11" x14ac:dyDescent="0.3">
      <c r="A13" t="s">
        <v>14</v>
      </c>
      <c r="B13">
        <v>6</v>
      </c>
      <c r="C13">
        <v>1</v>
      </c>
      <c r="D13">
        <f>B13*C13</f>
        <v>6</v>
      </c>
      <c r="E13">
        <f>ROUND(D13*0.7,0)</f>
        <v>4</v>
      </c>
      <c r="F13">
        <f>(IF(E13&lt;=5,18000,(IF(E13&lt;=20,26000))+IF(E13&gt;20,26000+(E13-20)*1500)))</f>
        <v>18000</v>
      </c>
      <c r="G13" t="s">
        <v>16</v>
      </c>
      <c r="H13">
        <f t="shared" si="3"/>
        <v>1.5</v>
      </c>
      <c r="I13">
        <f>ROUNDDOWN(F13*H13,-3)</f>
        <v>27000</v>
      </c>
      <c r="J13" s="6">
        <f>I13*1.1</f>
        <v>29700.000000000004</v>
      </c>
      <c r="K13" s="14"/>
    </row>
    <row r="16" spans="1:11" ht="20.25" x14ac:dyDescent="0.35">
      <c r="A16" s="15" t="s">
        <v>51</v>
      </c>
      <c r="B16" s="15"/>
      <c r="C16" s="15"/>
      <c r="D16" s="15"/>
      <c r="E16" s="15"/>
      <c r="F16" s="15"/>
      <c r="G16" s="15"/>
      <c r="H16" s="15"/>
      <c r="I16" s="15"/>
      <c r="J16" s="15"/>
    </row>
    <row r="18" spans="9:10" x14ac:dyDescent="0.3">
      <c r="I18" t="s">
        <v>13</v>
      </c>
      <c r="J18" s="12" t="e">
        <f>J4+J12</f>
        <v>#VALUE!</v>
      </c>
    </row>
    <row r="19" spans="9:10" x14ac:dyDescent="0.3">
      <c r="I19" t="s">
        <v>14</v>
      </c>
      <c r="J19" s="12">
        <f>J5+J13</f>
        <v>35700</v>
      </c>
    </row>
  </sheetData>
  <mergeCells count="3">
    <mergeCell ref="A1:J1"/>
    <mergeCell ref="A9:J9"/>
    <mergeCell ref="A16:J16"/>
  </mergeCells>
  <phoneticPr fontId="2" type="noConversion"/>
  <dataValidations count="2">
    <dataValidation type="list" sqref="F4:F8 F10" xr:uid="{00000000-0002-0000-0000-000000000000}">
      <formula1>"자사광고,타사광고"</formula1>
    </dataValidation>
    <dataValidation type="list" sqref="H4:H8 H10 G12:G13" xr:uid="{00000000-0002-0000-0000-000001000000}">
      <formula1>"비조명,내부조명,외부조명"</formula1>
    </dataValidation>
  </dataValidations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tabSelected="1" workbookViewId="0">
      <selection activeCell="J7" sqref="J7"/>
    </sheetView>
  </sheetViews>
  <sheetFormatPr defaultRowHeight="16.5" x14ac:dyDescent="0.3"/>
  <cols>
    <col min="1" max="9" width="10.625" customWidth="1"/>
    <col min="10" max="10" width="11.375" bestFit="1" customWidth="1"/>
  </cols>
  <sheetData>
    <row r="1" spans="1:10" ht="20.25" x14ac:dyDescent="0.35">
      <c r="A1" s="15" t="s">
        <v>37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x14ac:dyDescent="0.3">
      <c r="A3" t="s">
        <v>1</v>
      </c>
      <c r="B3" t="s">
        <v>2</v>
      </c>
      <c r="C3" t="s">
        <v>23</v>
      </c>
      <c r="D3" t="s">
        <v>10</v>
      </c>
      <c r="E3" t="s">
        <v>11</v>
      </c>
      <c r="F3" t="s">
        <v>6</v>
      </c>
      <c r="G3" t="s">
        <v>12</v>
      </c>
      <c r="H3" t="s">
        <v>8</v>
      </c>
      <c r="I3" s="2" t="s">
        <v>9</v>
      </c>
    </row>
    <row r="4" spans="1:10" x14ac:dyDescent="0.3">
      <c r="A4">
        <v>0.8</v>
      </c>
      <c r="B4">
        <v>3</v>
      </c>
      <c r="C4">
        <v>2</v>
      </c>
      <c r="D4">
        <f>A4*B4*2</f>
        <v>4.8000000000000007</v>
      </c>
      <c r="E4">
        <f>ROUND(D4,0)</f>
        <v>5</v>
      </c>
      <c r="F4">
        <f>IF(E4&lt;=5,20000,20000+(E4-5)*2000)</f>
        <v>20000</v>
      </c>
      <c r="G4" t="s">
        <v>16</v>
      </c>
      <c r="H4">
        <f t="shared" ref="H4" si="0">IF(G4="비조명",1,IF(G4="내부조명",1.5,IF(G4="외부조명",2,"")))</f>
        <v>1.5</v>
      </c>
      <c r="I4" s="6">
        <f>ROUNDDOWN(F4*H4,-3)</f>
        <v>30000</v>
      </c>
    </row>
    <row r="9" spans="1:10" ht="20.25" x14ac:dyDescent="0.35">
      <c r="A9" s="15" t="s">
        <v>38</v>
      </c>
      <c r="B9" s="15"/>
      <c r="C9" s="15"/>
      <c r="D9" s="15"/>
      <c r="E9" s="15"/>
      <c r="F9" s="15"/>
      <c r="G9" s="15"/>
      <c r="H9" s="15"/>
      <c r="I9" s="15"/>
      <c r="J9" s="15"/>
    </row>
    <row r="11" spans="1:10" x14ac:dyDescent="0.3">
      <c r="A11" t="s">
        <v>1</v>
      </c>
      <c r="B11" t="s">
        <v>2</v>
      </c>
      <c r="C11" t="s">
        <v>23</v>
      </c>
      <c r="D11" t="s">
        <v>10</v>
      </c>
      <c r="E11" t="s">
        <v>11</v>
      </c>
      <c r="F11" t="s">
        <v>6</v>
      </c>
      <c r="G11" t="s">
        <v>12</v>
      </c>
      <c r="H11" t="s">
        <v>8</v>
      </c>
      <c r="I11" t="s">
        <v>9</v>
      </c>
      <c r="J11" s="2" t="s">
        <v>22</v>
      </c>
    </row>
    <row r="12" spans="1:10" x14ac:dyDescent="0.3">
      <c r="A12">
        <v>0.8</v>
      </c>
      <c r="B12">
        <v>3</v>
      </c>
      <c r="C12">
        <v>2</v>
      </c>
      <c r="D12">
        <f>A12*B12*2</f>
        <v>4.8000000000000007</v>
      </c>
      <c r="E12">
        <f>ROUND(D12,0)</f>
        <v>5</v>
      </c>
      <c r="F12">
        <f>(IF(E12&lt;=3.5,18000,(IF(E12&lt;=10,26000))+IF(E12&gt;10,26000+(E12-10)*1500)))</f>
        <v>26000</v>
      </c>
      <c r="G12" t="s">
        <v>16</v>
      </c>
      <c r="H12">
        <f t="shared" ref="H12" si="1">IF(G12="비조명",1,IF(G12="내부조명",1.5,IF(G12="외부조명",2,"")))</f>
        <v>1.5</v>
      </c>
      <c r="I12" s="4">
        <f>ROUNDDOWN(F12*H12,-3)</f>
        <v>39000</v>
      </c>
      <c r="J12" s="6">
        <f>I12*1.1</f>
        <v>42900</v>
      </c>
    </row>
    <row r="13" spans="1:10" x14ac:dyDescent="0.3">
      <c r="J13" s="2"/>
    </row>
    <row r="15" spans="1:10" ht="20.25" x14ac:dyDescent="0.35">
      <c r="A15" s="15" t="s">
        <v>52</v>
      </c>
      <c r="B15" s="15"/>
      <c r="C15" s="15"/>
      <c r="D15" s="15"/>
      <c r="E15" s="15"/>
      <c r="F15" s="15"/>
      <c r="G15" s="15"/>
      <c r="H15" s="15"/>
      <c r="I15" s="15"/>
      <c r="J15" s="13">
        <f>I4+J12</f>
        <v>72900</v>
      </c>
    </row>
  </sheetData>
  <mergeCells count="3">
    <mergeCell ref="A1:J1"/>
    <mergeCell ref="A9:J9"/>
    <mergeCell ref="A15:I15"/>
  </mergeCells>
  <phoneticPr fontId="2" type="noConversion"/>
  <dataValidations count="1">
    <dataValidation type="list" sqref="G4 G12" xr:uid="{00000000-0002-0000-0100-000000000000}">
      <formula1>"비조명,내부조명,외부조명"</formula1>
    </dataValidation>
  </dataValidations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ADB72-460C-4659-872E-4C8AA2982314}">
  <dimension ref="A1:J16"/>
  <sheetViews>
    <sheetView workbookViewId="0">
      <selection activeCell="A16" sqref="A16:XFD16"/>
    </sheetView>
  </sheetViews>
  <sheetFormatPr defaultRowHeight="16.5" x14ac:dyDescent="0.3"/>
  <cols>
    <col min="1" max="9" width="10.625" customWidth="1"/>
    <col min="10" max="10" width="12.875" bestFit="1" customWidth="1"/>
  </cols>
  <sheetData>
    <row r="1" spans="1:10" ht="20.25" x14ac:dyDescent="0.35">
      <c r="A1" s="15" t="s">
        <v>35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x14ac:dyDescent="0.3">
      <c r="A3" t="s">
        <v>1</v>
      </c>
      <c r="B3" t="s">
        <v>2</v>
      </c>
      <c r="C3" t="s">
        <v>24</v>
      </c>
      <c r="D3" t="s">
        <v>10</v>
      </c>
      <c r="E3" t="s">
        <v>11</v>
      </c>
      <c r="F3" t="s">
        <v>6</v>
      </c>
      <c r="G3" t="s">
        <v>12</v>
      </c>
      <c r="H3" t="s">
        <v>8</v>
      </c>
      <c r="I3" s="2" t="s">
        <v>9</v>
      </c>
    </row>
    <row r="4" spans="1:10" x14ac:dyDescent="0.3">
      <c r="A4">
        <v>5</v>
      </c>
      <c r="B4">
        <v>3</v>
      </c>
      <c r="C4">
        <v>2</v>
      </c>
      <c r="D4">
        <f>A4*B4*2</f>
        <v>30</v>
      </c>
      <c r="E4">
        <f>ROUND(D4,0)</f>
        <v>30</v>
      </c>
      <c r="F4">
        <f>IF(E4&lt;=10,20000,20000+(E4-10)*2000)</f>
        <v>60000</v>
      </c>
      <c r="G4" t="s">
        <v>16</v>
      </c>
      <c r="H4">
        <f t="shared" ref="H4" si="0">IF(G4="비조명",1,IF(G4="내부조명",1.5,IF(G4="외부조명",2,"")))</f>
        <v>1.5</v>
      </c>
      <c r="I4" s="6">
        <f>ROUNDDOWN(F4*H4,-3)</f>
        <v>90000</v>
      </c>
    </row>
    <row r="9" spans="1:10" ht="20.25" x14ac:dyDescent="0.35">
      <c r="A9" s="15" t="s">
        <v>36</v>
      </c>
      <c r="B9" s="15"/>
      <c r="C9" s="15"/>
      <c r="D9" s="15"/>
      <c r="E9" s="15"/>
      <c r="F9" s="15"/>
      <c r="G9" s="15"/>
      <c r="H9" s="15"/>
      <c r="I9" s="15"/>
      <c r="J9" s="15"/>
    </row>
    <row r="11" spans="1:10" x14ac:dyDescent="0.3">
      <c r="A11" t="s">
        <v>1</v>
      </c>
      <c r="B11" t="s">
        <v>2</v>
      </c>
      <c r="C11" t="s">
        <v>24</v>
      </c>
      <c r="D11" t="s">
        <v>10</v>
      </c>
      <c r="E11" t="s">
        <v>11</v>
      </c>
      <c r="F11" t="s">
        <v>6</v>
      </c>
      <c r="G11" t="s">
        <v>12</v>
      </c>
      <c r="H11" t="s">
        <v>8</v>
      </c>
      <c r="I11" t="s">
        <v>21</v>
      </c>
      <c r="J11" s="2" t="s">
        <v>22</v>
      </c>
    </row>
    <row r="12" spans="1:10" x14ac:dyDescent="0.3">
      <c r="A12">
        <v>5</v>
      </c>
      <c r="B12">
        <v>3</v>
      </c>
      <c r="C12">
        <v>2</v>
      </c>
      <c r="D12">
        <f>A12*B12*2</f>
        <v>30</v>
      </c>
      <c r="E12">
        <f>ROUND(D12,0)</f>
        <v>30</v>
      </c>
      <c r="F12">
        <f>(IF(E12&lt;=10,18000,(IF(E12&lt;=20,26000))+IF(E12&gt;20,26000+(E12-20)*1500)))</f>
        <v>41000</v>
      </c>
      <c r="G12" t="s">
        <v>16</v>
      </c>
      <c r="H12">
        <f t="shared" ref="H12" si="1">IF(G12="비조명",1,IF(G12="내부조명",1.5,IF(G12="외부조명",2,"")))</f>
        <v>1.5</v>
      </c>
      <c r="I12">
        <f>ROUNDDOWN(F12*H12,-3)</f>
        <v>61000</v>
      </c>
      <c r="J12" s="6">
        <f>I12*1.1</f>
        <v>67100</v>
      </c>
    </row>
    <row r="13" spans="1:10" x14ac:dyDescent="0.3">
      <c r="J13" s="2"/>
    </row>
    <row r="16" spans="1:10" ht="20.25" x14ac:dyDescent="0.35">
      <c r="A16" s="15" t="s">
        <v>53</v>
      </c>
      <c r="B16" s="15"/>
      <c r="C16" s="15"/>
      <c r="D16" s="15"/>
      <c r="E16" s="15"/>
      <c r="F16" s="15"/>
      <c r="G16" s="15"/>
      <c r="H16" s="15"/>
      <c r="I16" s="15"/>
      <c r="J16" s="13">
        <f>I4+J12</f>
        <v>157100</v>
      </c>
    </row>
  </sheetData>
  <mergeCells count="3">
    <mergeCell ref="A1:J1"/>
    <mergeCell ref="A9:J9"/>
    <mergeCell ref="A16:I16"/>
  </mergeCells>
  <phoneticPr fontId="2" type="noConversion"/>
  <dataValidations count="1">
    <dataValidation type="list" sqref="G4 G12" xr:uid="{EA2E19CB-ADB8-494E-BFD0-6197C99B84B4}">
      <formula1>"비조명,내부조명,외부조명"</formula1>
    </dataValidation>
  </dataValidations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8F667-C961-475F-8D48-7BFAFAD77122}">
  <dimension ref="A1:L20"/>
  <sheetViews>
    <sheetView workbookViewId="0">
      <selection activeCell="A20" sqref="A20:XFD20"/>
    </sheetView>
  </sheetViews>
  <sheetFormatPr defaultRowHeight="16.5" x14ac:dyDescent="0.3"/>
  <cols>
    <col min="10" max="10" width="11.375" bestFit="1" customWidth="1"/>
    <col min="11" max="12" width="12.875" bestFit="1" customWidth="1"/>
  </cols>
  <sheetData>
    <row r="1" spans="1:12" ht="20.25" x14ac:dyDescent="0.35">
      <c r="A1" s="15" t="s">
        <v>39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3" spans="1:12" x14ac:dyDescent="0.3">
      <c r="A3" s="3" t="s">
        <v>25</v>
      </c>
      <c r="B3" s="3" t="s">
        <v>1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5" t="s">
        <v>22</v>
      </c>
    </row>
    <row r="4" spans="1:12" x14ac:dyDescent="0.3">
      <c r="A4" s="1">
        <v>1</v>
      </c>
      <c r="B4">
        <v>0.96</v>
      </c>
      <c r="C4">
        <v>1.83</v>
      </c>
      <c r="D4">
        <f>B4*C4</f>
        <v>1.7567999999999999</v>
      </c>
      <c r="E4">
        <f>3000+((ROUND(SUM(D4:D7),0)-1)*1000)</f>
        <v>9000</v>
      </c>
      <c r="F4" t="s">
        <v>16</v>
      </c>
      <c r="G4">
        <f>ROUND(SUM(D4:D7),0)</f>
        <v>7</v>
      </c>
      <c r="H4">
        <f>ROUND(SUM(D4:D6),0)</f>
        <v>5</v>
      </c>
      <c r="I4">
        <f>ROUND(D7,0)</f>
        <v>2</v>
      </c>
      <c r="J4">
        <f>E4*(1+(H4/G4*0.5)+(I4/G4))</f>
        <v>14785.714285714284</v>
      </c>
      <c r="K4" s="6">
        <f>ROUNDDOWN(J4,-3)</f>
        <v>14000</v>
      </c>
    </row>
    <row r="5" spans="1:12" x14ac:dyDescent="0.3">
      <c r="A5" s="1">
        <v>2</v>
      </c>
      <c r="B5">
        <v>0.96</v>
      </c>
      <c r="C5">
        <v>1.83</v>
      </c>
      <c r="D5">
        <f t="shared" ref="D5:D7" si="0">B5*C5</f>
        <v>1.7567999999999999</v>
      </c>
      <c r="F5" t="s">
        <v>16</v>
      </c>
    </row>
    <row r="6" spans="1:12" x14ac:dyDescent="0.3">
      <c r="A6" s="1">
        <v>3</v>
      </c>
      <c r="B6">
        <v>0.96</v>
      </c>
      <c r="C6">
        <v>1.83</v>
      </c>
      <c r="D6">
        <f t="shared" si="0"/>
        <v>1.7567999999999999</v>
      </c>
      <c r="F6" t="s">
        <v>16</v>
      </c>
    </row>
    <row r="7" spans="1:12" x14ac:dyDescent="0.3">
      <c r="A7" s="1">
        <v>4</v>
      </c>
      <c r="B7">
        <v>0.96</v>
      </c>
      <c r="C7">
        <v>1.83</v>
      </c>
      <c r="D7">
        <f t="shared" si="0"/>
        <v>1.7567999999999999</v>
      </c>
      <c r="F7" t="s">
        <v>34</v>
      </c>
    </row>
    <row r="11" spans="1:12" ht="20.25" x14ac:dyDescent="0.35">
      <c r="A11" s="15" t="s">
        <v>39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3" spans="1:12" x14ac:dyDescent="0.3">
      <c r="A13" s="3" t="s">
        <v>25</v>
      </c>
      <c r="B13" s="3" t="s">
        <v>1</v>
      </c>
      <c r="C13" s="3" t="s">
        <v>26</v>
      </c>
      <c r="D13" s="3" t="s">
        <v>27</v>
      </c>
      <c r="E13" s="3" t="s">
        <v>28</v>
      </c>
      <c r="F13" s="3" t="s">
        <v>29</v>
      </c>
      <c r="G13" s="3" t="s">
        <v>30</v>
      </c>
      <c r="H13" s="3" t="s">
        <v>31</v>
      </c>
      <c r="I13" s="3" t="s">
        <v>32</v>
      </c>
      <c r="J13" s="3" t="s">
        <v>33</v>
      </c>
      <c r="K13" s="3" t="s">
        <v>21</v>
      </c>
      <c r="L13" s="5" t="s">
        <v>22</v>
      </c>
    </row>
    <row r="14" spans="1:12" x14ac:dyDescent="0.3">
      <c r="A14" s="1">
        <v>1</v>
      </c>
      <c r="B14">
        <v>0.96</v>
      </c>
      <c r="C14">
        <v>1.83</v>
      </c>
      <c r="D14">
        <f>B14*C14</f>
        <v>1.7567999999999999</v>
      </c>
      <c r="E14">
        <f>IF(G14&lt;=10,18000,(IF(G14&lt;=20,26000))+26000+(G14-20)*1500)</f>
        <v>18000</v>
      </c>
      <c r="F14" t="s">
        <v>16</v>
      </c>
      <c r="G14">
        <f>ROUND(SUM(C14:C17),0)</f>
        <v>7</v>
      </c>
      <c r="H14">
        <f>ROUND(SUM(D14:D16),0)</f>
        <v>5</v>
      </c>
      <c r="I14">
        <f>ROUND(D17,0)</f>
        <v>2</v>
      </c>
      <c r="J14">
        <f>E14*(1+(H14/G14*0.5)+(I14/G14))</f>
        <v>29571.428571428569</v>
      </c>
      <c r="K14">
        <f>ROUNDDOWN(J14,-3)</f>
        <v>29000</v>
      </c>
      <c r="L14" s="6">
        <f>K14*1.1</f>
        <v>31900.000000000004</v>
      </c>
    </row>
    <row r="15" spans="1:12" x14ac:dyDescent="0.3">
      <c r="A15" s="1">
        <v>2</v>
      </c>
      <c r="B15">
        <v>0.96</v>
      </c>
      <c r="C15">
        <v>1.83</v>
      </c>
      <c r="D15">
        <f t="shared" ref="D15:D17" si="1">B15*C15</f>
        <v>1.7567999999999999</v>
      </c>
      <c r="F15" t="s">
        <v>16</v>
      </c>
    </row>
    <row r="16" spans="1:12" x14ac:dyDescent="0.3">
      <c r="A16" s="1">
        <v>3</v>
      </c>
      <c r="B16">
        <v>0.96</v>
      </c>
      <c r="C16">
        <v>1.83</v>
      </c>
      <c r="D16">
        <f t="shared" si="1"/>
        <v>1.7567999999999999</v>
      </c>
      <c r="F16" t="s">
        <v>16</v>
      </c>
    </row>
    <row r="17" spans="1:10" x14ac:dyDescent="0.3">
      <c r="A17" s="1">
        <v>4</v>
      </c>
      <c r="B17">
        <v>0.96</v>
      </c>
      <c r="C17">
        <v>1.83</v>
      </c>
      <c r="D17">
        <f t="shared" si="1"/>
        <v>1.7567999999999999</v>
      </c>
      <c r="F17" t="s">
        <v>34</v>
      </c>
    </row>
    <row r="20" spans="1:10" ht="20.25" x14ac:dyDescent="0.35">
      <c r="A20" s="15" t="s">
        <v>54</v>
      </c>
      <c r="B20" s="15"/>
      <c r="C20" s="15"/>
      <c r="D20" s="15"/>
      <c r="E20" s="15"/>
      <c r="F20" s="15"/>
      <c r="G20" s="15"/>
      <c r="H20" s="15"/>
      <c r="I20" s="15"/>
      <c r="J20" s="13">
        <f>K4+L14</f>
        <v>45900</v>
      </c>
    </row>
  </sheetData>
  <mergeCells count="3">
    <mergeCell ref="A1:L1"/>
    <mergeCell ref="A11:L11"/>
    <mergeCell ref="A20:I20"/>
  </mergeCells>
  <phoneticPr fontId="2" type="noConversion"/>
  <dataValidations count="1">
    <dataValidation type="list" allowBlank="1" sqref="F4:F7 F14:F17" xr:uid="{3F7A9AB1-77EE-4C77-877D-AAE0A89BF9DE}">
      <formula1>"비조명,내부조명,외부조명"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51F14-2DFF-4F08-ADFA-CA3BEEAC9B44}">
  <dimension ref="A1:L20"/>
  <sheetViews>
    <sheetView workbookViewId="0">
      <selection activeCell="O10" sqref="O10:O11"/>
    </sheetView>
  </sheetViews>
  <sheetFormatPr defaultRowHeight="16.5" x14ac:dyDescent="0.3"/>
  <cols>
    <col min="1" max="8" width="10.625" customWidth="1"/>
    <col min="9" max="9" width="13.75" bestFit="1" customWidth="1"/>
    <col min="10" max="10" width="15.125" bestFit="1" customWidth="1"/>
    <col min="11" max="11" width="12.375" bestFit="1" customWidth="1"/>
    <col min="12" max="12" width="15.375" bestFit="1" customWidth="1"/>
    <col min="15" max="15" width="9.5" bestFit="1" customWidth="1"/>
  </cols>
  <sheetData>
    <row r="1" spans="1:12" ht="20.25" x14ac:dyDescent="0.35">
      <c r="A1" s="15" t="s">
        <v>40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3" spans="1:12" x14ac:dyDescent="0.3">
      <c r="A3" s="3" t="s">
        <v>41</v>
      </c>
      <c r="B3" s="3" t="s">
        <v>1</v>
      </c>
      <c r="C3" s="3" t="s">
        <v>26</v>
      </c>
      <c r="D3" s="3" t="s">
        <v>42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7" t="s">
        <v>33</v>
      </c>
      <c r="L3" s="8" t="s">
        <v>43</v>
      </c>
    </row>
    <row r="4" spans="1:12" x14ac:dyDescent="0.3">
      <c r="A4" s="1" t="s">
        <v>44</v>
      </c>
      <c r="B4">
        <v>11</v>
      </c>
      <c r="C4">
        <v>8</v>
      </c>
      <c r="D4">
        <v>12.5</v>
      </c>
      <c r="E4">
        <f>B4*C4</f>
        <v>88</v>
      </c>
      <c r="F4" s="9">
        <f>40000+((ROUND(SUM(E4:E7),0)-10)*6000)</f>
        <v>1564000</v>
      </c>
      <c r="G4" t="s">
        <v>18</v>
      </c>
      <c r="H4">
        <f>ROUND(SUM(E4:E7),0)</f>
        <v>264</v>
      </c>
      <c r="I4">
        <f>ROUND(SUMIF($G$4:$G$7,"내부조명",E4:E7),0)</f>
        <v>88</v>
      </c>
      <c r="J4">
        <f>ROUND(SUMIF($G$4:$G$7,"외부조명",E4:E7),0)</f>
        <v>0</v>
      </c>
      <c r="K4" s="10">
        <f>ROUNDDOWN(F4*(1+(I4/H4*0.5)+(J4/H4)),-3)</f>
        <v>1824000</v>
      </c>
      <c r="L4" s="11">
        <f>ROUNDDOWN(K4/2,-3)</f>
        <v>912000</v>
      </c>
    </row>
    <row r="5" spans="1:12" x14ac:dyDescent="0.3">
      <c r="A5" s="1" t="s">
        <v>45</v>
      </c>
      <c r="B5">
        <v>11</v>
      </c>
      <c r="C5">
        <v>8</v>
      </c>
      <c r="D5">
        <v>12.5</v>
      </c>
      <c r="E5">
        <f t="shared" ref="E5:E7" si="0">B5*C5</f>
        <v>88</v>
      </c>
      <c r="G5" t="s">
        <v>16</v>
      </c>
      <c r="K5" s="2"/>
    </row>
    <row r="6" spans="1:12" x14ac:dyDescent="0.3">
      <c r="A6" s="1" t="s">
        <v>46</v>
      </c>
      <c r="B6">
        <v>11</v>
      </c>
      <c r="C6">
        <v>8</v>
      </c>
      <c r="D6">
        <v>12.5</v>
      </c>
      <c r="E6">
        <f t="shared" si="0"/>
        <v>88</v>
      </c>
      <c r="G6" t="s">
        <v>18</v>
      </c>
      <c r="K6" s="2"/>
    </row>
    <row r="7" spans="1:12" x14ac:dyDescent="0.3">
      <c r="A7" s="1" t="s">
        <v>47</v>
      </c>
      <c r="D7">
        <v>12.5</v>
      </c>
      <c r="E7">
        <f t="shared" si="0"/>
        <v>0</v>
      </c>
      <c r="G7" t="s">
        <v>18</v>
      </c>
      <c r="K7" s="2"/>
    </row>
    <row r="11" spans="1:12" ht="20.25" x14ac:dyDescent="0.35">
      <c r="A11" s="15" t="s">
        <v>48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3" spans="1:12" x14ac:dyDescent="0.3">
      <c r="A13" s="3" t="s">
        <v>41</v>
      </c>
      <c r="B13" s="3" t="s">
        <v>1</v>
      </c>
      <c r="C13" s="3" t="s">
        <v>26</v>
      </c>
      <c r="D13" s="3" t="s">
        <v>42</v>
      </c>
      <c r="E13" s="3" t="s">
        <v>27</v>
      </c>
      <c r="F13" s="3" t="s">
        <v>28</v>
      </c>
      <c r="G13" s="3" t="s">
        <v>29</v>
      </c>
      <c r="H13" s="3" t="s">
        <v>30</v>
      </c>
      <c r="I13" s="3" t="s">
        <v>31</v>
      </c>
      <c r="J13" s="3" t="s">
        <v>32</v>
      </c>
      <c r="K13" s="3" t="s">
        <v>33</v>
      </c>
      <c r="L13" s="7" t="s">
        <v>22</v>
      </c>
    </row>
    <row r="14" spans="1:12" x14ac:dyDescent="0.3">
      <c r="A14" s="1" t="s">
        <v>44</v>
      </c>
      <c r="B14">
        <v>11</v>
      </c>
      <c r="C14">
        <v>1.5</v>
      </c>
      <c r="D14">
        <f>C4+C14</f>
        <v>9.5</v>
      </c>
      <c r="E14">
        <f>B14*D14</f>
        <v>104.5</v>
      </c>
      <c r="F14" s="9">
        <f>IF(H14&lt;=20,22000,(IF(H14&lt;=40,45000))+45000+(H14-40)*3000)</f>
        <v>915000</v>
      </c>
      <c r="G14" t="s">
        <v>18</v>
      </c>
      <c r="H14">
        <f>ROUND(SUM(E14:E17),0)</f>
        <v>330</v>
      </c>
      <c r="I14">
        <f>I4</f>
        <v>88</v>
      </c>
      <c r="J14">
        <f>J4</f>
        <v>0</v>
      </c>
      <c r="K14" s="9">
        <f>ROUNDDOWN(F14*(1+(I14/H14*0.5)+(J14/H14)),-3)</f>
        <v>1037000</v>
      </c>
      <c r="L14" s="10">
        <f>K14*1.1</f>
        <v>1140700</v>
      </c>
    </row>
    <row r="15" spans="1:12" x14ac:dyDescent="0.3">
      <c r="A15" s="1" t="s">
        <v>45</v>
      </c>
      <c r="B15">
        <v>11</v>
      </c>
      <c r="C15">
        <v>1.5</v>
      </c>
      <c r="D15">
        <f t="shared" ref="D15:D17" si="1">C5+C15</f>
        <v>9.5</v>
      </c>
      <c r="E15">
        <f t="shared" ref="E15:E17" si="2">B15*D15</f>
        <v>104.5</v>
      </c>
      <c r="G15" t="s">
        <v>16</v>
      </c>
      <c r="L15" s="2"/>
    </row>
    <row r="16" spans="1:12" x14ac:dyDescent="0.3">
      <c r="A16" s="1" t="s">
        <v>46</v>
      </c>
      <c r="B16">
        <v>11</v>
      </c>
      <c r="C16">
        <v>1.5</v>
      </c>
      <c r="D16">
        <f t="shared" si="1"/>
        <v>9.5</v>
      </c>
      <c r="E16">
        <f t="shared" si="2"/>
        <v>104.5</v>
      </c>
      <c r="G16" t="s">
        <v>18</v>
      </c>
      <c r="L16" s="2"/>
    </row>
    <row r="17" spans="1:12" x14ac:dyDescent="0.3">
      <c r="A17" s="1" t="s">
        <v>47</v>
      </c>
      <c r="B17">
        <v>11</v>
      </c>
      <c r="C17">
        <v>1.5</v>
      </c>
      <c r="D17">
        <f t="shared" si="1"/>
        <v>1.5</v>
      </c>
      <c r="E17">
        <f t="shared" si="2"/>
        <v>16.5</v>
      </c>
      <c r="G17" t="s">
        <v>18</v>
      </c>
      <c r="L17" s="2"/>
    </row>
    <row r="20" spans="1:12" ht="20.25" x14ac:dyDescent="0.35">
      <c r="A20" s="15" t="s">
        <v>55</v>
      </c>
      <c r="B20" s="15"/>
      <c r="C20" s="15"/>
      <c r="D20" s="15"/>
      <c r="E20" s="15"/>
      <c r="F20" s="15"/>
      <c r="G20" s="15"/>
      <c r="H20" s="15"/>
      <c r="I20" s="15"/>
      <c r="J20" s="13">
        <f>K4+L14</f>
        <v>2964700</v>
      </c>
    </row>
  </sheetData>
  <mergeCells count="3">
    <mergeCell ref="A1:L1"/>
    <mergeCell ref="A11:L11"/>
    <mergeCell ref="A20:I20"/>
  </mergeCells>
  <phoneticPr fontId="2" type="noConversion"/>
  <dataValidations count="1">
    <dataValidation type="list" allowBlank="1" sqref="G4:G7 G14:G17" xr:uid="{BE642758-9265-4453-85CE-B15EB195D586}">
      <formula1>"비조명,내부조명,외부조명"</formula1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E19E5-4C0B-4403-8C84-AACA7052F3A5}">
  <dimension ref="A1:K16"/>
  <sheetViews>
    <sheetView workbookViewId="0">
      <selection activeCell="I21" sqref="I21"/>
    </sheetView>
  </sheetViews>
  <sheetFormatPr defaultRowHeight="16.5" x14ac:dyDescent="0.3"/>
  <cols>
    <col min="1" max="9" width="10.625" customWidth="1"/>
    <col min="10" max="10" width="15.125" bestFit="1" customWidth="1"/>
    <col min="11" max="11" width="15.375" bestFit="1" customWidth="1"/>
  </cols>
  <sheetData>
    <row r="1" spans="1:11" ht="20.25" x14ac:dyDescent="0.35">
      <c r="A1" s="15" t="s">
        <v>19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3" spans="1:1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49</v>
      </c>
      <c r="J3" s="2" t="s">
        <v>50</v>
      </c>
      <c r="K3" s="8" t="s">
        <v>43</v>
      </c>
    </row>
    <row r="4" spans="1:11" x14ac:dyDescent="0.3">
      <c r="A4" s="1" t="s">
        <v>44</v>
      </c>
      <c r="B4">
        <v>11.4</v>
      </c>
      <c r="C4">
        <v>18.8</v>
      </c>
      <c r="D4">
        <f t="shared" ref="D4" si="0">B4*C4</f>
        <v>214.32000000000002</v>
      </c>
      <c r="E4">
        <f>ROUND(D4,0)</f>
        <v>214</v>
      </c>
      <c r="F4" t="s">
        <v>17</v>
      </c>
      <c r="G4" s="4">
        <f>IF(F4="자사광고",IF(E4&lt;=5,4000,4000+(E4-5)*1500),IF(F4="타사광고",IF(E4&lt;=5,40000,40000+(E4-5)*2000),""))</f>
        <v>458000</v>
      </c>
      <c r="H4" t="s">
        <v>16</v>
      </c>
      <c r="I4" s="1">
        <f t="shared" ref="I4" si="1">IF(H4="비조명",1,IF(H4="내부조명",1.5,IF(H4="외부조명",2,"")))</f>
        <v>1.5</v>
      </c>
      <c r="J4" s="6">
        <f>ROUNDDOWN(G4*I4,-3)</f>
        <v>687000</v>
      </c>
      <c r="K4" s="11">
        <f>ROUNDDOWN(J4/2,-3)</f>
        <v>343000</v>
      </c>
    </row>
    <row r="5" spans="1:11" x14ac:dyDescent="0.3">
      <c r="A5" s="1"/>
    </row>
    <row r="9" spans="1:11" ht="20.25" x14ac:dyDescent="0.35">
      <c r="A9" s="15" t="s">
        <v>20</v>
      </c>
      <c r="B9" s="15"/>
      <c r="C9" s="15"/>
      <c r="D9" s="15"/>
      <c r="E9" s="15"/>
      <c r="F9" s="15"/>
      <c r="G9" s="15"/>
      <c r="H9" s="15"/>
      <c r="I9" s="15"/>
      <c r="J9" s="15"/>
      <c r="K9" s="15"/>
    </row>
    <row r="11" spans="1:11" x14ac:dyDescent="0.3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6</v>
      </c>
      <c r="G11" t="s">
        <v>7</v>
      </c>
      <c r="H11" t="s">
        <v>49</v>
      </c>
      <c r="I11" t="s">
        <v>21</v>
      </c>
      <c r="J11" s="2" t="s">
        <v>22</v>
      </c>
      <c r="K11" s="2"/>
    </row>
    <row r="12" spans="1:11" x14ac:dyDescent="0.3">
      <c r="A12" s="1" t="s">
        <v>44</v>
      </c>
      <c r="B12">
        <v>13.019</v>
      </c>
      <c r="C12">
        <v>17.2</v>
      </c>
      <c r="D12">
        <f t="shared" ref="D12" si="2">B12*C12</f>
        <v>223.92679999999999</v>
      </c>
      <c r="E12">
        <f>ROUND(D12,0)</f>
        <v>224</v>
      </c>
      <c r="F12" s="4">
        <f>IF(E12&lt;=5,18000,(IF(E12&lt;=20,26000))+IF(E12&gt;20,26000+(E12-20)*1500))</f>
        <v>332000</v>
      </c>
      <c r="G12" t="s">
        <v>34</v>
      </c>
      <c r="H12" s="1">
        <f t="shared" ref="H12" si="3">IF(G12="비조명",1,IF(G12="내부조명",1.5,IF(G12="외부조명",2,"")))</f>
        <v>2</v>
      </c>
      <c r="I12" s="4">
        <f>ROUNDDOWN(F12*H12,-3)</f>
        <v>664000</v>
      </c>
      <c r="J12" s="6">
        <f>I12*1.1</f>
        <v>730400.00000000012</v>
      </c>
      <c r="K12" s="6"/>
    </row>
    <row r="16" spans="1:11" ht="20.25" x14ac:dyDescent="0.35">
      <c r="A16" s="15" t="s">
        <v>51</v>
      </c>
      <c r="B16" s="15"/>
      <c r="C16" s="15"/>
      <c r="D16" s="15"/>
      <c r="E16" s="15"/>
      <c r="F16" s="15"/>
      <c r="G16" s="15"/>
      <c r="H16" s="15"/>
      <c r="I16" s="15"/>
      <c r="J16" s="13">
        <f>J4+J12</f>
        <v>1417400</v>
      </c>
    </row>
  </sheetData>
  <mergeCells count="3">
    <mergeCell ref="A1:K1"/>
    <mergeCell ref="A9:K9"/>
    <mergeCell ref="A16:I16"/>
  </mergeCells>
  <phoneticPr fontId="2" type="noConversion"/>
  <dataValidations disablePrompts="1" count="3">
    <dataValidation type="list" sqref="F4" xr:uid="{CEE7225F-DFDC-412E-B6DA-DB5F92A3D129}">
      <formula1>"자사광고,타사광고"</formula1>
    </dataValidation>
    <dataValidation type="list" sqref="H4 G12" xr:uid="{4A9156D7-0E32-4788-A244-272758C33060}">
      <formula1>"비조명,내부조명,외부조명"</formula1>
    </dataValidation>
    <dataValidation type="list" allowBlank="1" sqref="F5" xr:uid="{01F89535-4C20-473C-96B7-75381C4CC7D4}">
      <formula1>"비조명,내부조명,외부조명"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일반간판(벽면이용광고물)</vt:lpstr>
      <vt:lpstr>일반간판(돌출간판)</vt:lpstr>
      <vt:lpstr>일반간판(지주이용)</vt:lpstr>
      <vt:lpstr>일반간판(공공시설이용)</vt:lpstr>
      <vt:lpstr>대형(옥상간판)</vt:lpstr>
      <vt:lpstr>대형(벽면)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2026-03-08T23:32:15Z</dcterms:created>
  <dcterms:modified xsi:type="dcterms:W3CDTF">2026-04-01T07:49:38Z</dcterms:modified>
</cp:coreProperties>
</file>